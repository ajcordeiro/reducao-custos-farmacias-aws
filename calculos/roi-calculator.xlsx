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queson\source\Santander Bootcamp 2025\AWS\reducao-custos-farmacias-aws\calculos\"/>
    </mc:Choice>
  </mc:AlternateContent>
  <xr:revisionPtr revIDLastSave="0" documentId="13_ncr:1_{3DA3F39C-1F02-43B1-B3F3-5ED23CE70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os" sheetId="5" r:id="rId1"/>
    <sheet name="Dashboard" sheetId="6" r:id="rId2"/>
    <sheet name="Base" sheetId="1" r:id="rId3"/>
  </sheets>
  <definedNames>
    <definedName name="SegmentaçãodeDados_Categoria">#N/A</definedName>
  </definedNames>
  <calcPr calcId="191029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E3" i="1" l="1"/>
  <c r="E7" i="1"/>
  <c r="E6" i="1"/>
  <c r="E5" i="1"/>
  <c r="B5" i="5"/>
  <c r="C5" i="5"/>
  <c r="D5" i="5" l="1"/>
  <c r="E4" i="1"/>
</calcChain>
</file>

<file path=xl/sharedStrings.xml><?xml version="1.0" encoding="utf-8"?>
<sst xmlns="http://schemas.openxmlformats.org/spreadsheetml/2006/main" count="30" uniqueCount="16">
  <si>
    <t>Categoria</t>
  </si>
  <si>
    <t>Custos Antes (On-Premises)</t>
  </si>
  <si>
    <t>Custos Depois (AWS)</t>
  </si>
  <si>
    <t>Economia Anual</t>
  </si>
  <si>
    <t>Licenças SQL Server</t>
  </si>
  <si>
    <t>Hardware Servidores + Manutenção</t>
  </si>
  <si>
    <t>Digitadores (5 funcionários)</t>
  </si>
  <si>
    <t>Relatórios manuais (3 analistas)</t>
  </si>
  <si>
    <t>Estoque imobilizado</t>
  </si>
  <si>
    <t>Rótulos de Linha</t>
  </si>
  <si>
    <t>Total Geral</t>
  </si>
  <si>
    <t>Soma de Custos Depois (AWS)</t>
  </si>
  <si>
    <t>Soma de Custos Antes (On-Premises)</t>
  </si>
  <si>
    <t>Soma de Economia Anual</t>
  </si>
  <si>
    <t>DASHBOARD Retorno Sobre o Investimento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</si>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</sst>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b/>
      <sz val="16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44" fontId="3" fillId="0" borderId="1" xfId="1" applyFont="1" applyBorder="1"/>
    <xf numFmtId="44" fontId="3" fillId="0" borderId="1" xfId="1" applyFont="1" applyBorder="1" applyAlignment="1"/>
    <xf numFmtId="44" fontId="3" fillId="0" borderId="2" xfId="1" applyFont="1" applyBorder="1"/>
    <xf numFmtId="44" fontId="0" fillId="0" borderId="0" xfId="1" applyFont="1"/>
    <xf numFmtId="44" fontId="0" fillId="0" borderId="0" xfId="0" applyNumberFormat="1"/>
    <xf numFmtId="9" fontId="0" fillId="0" borderId="0" xfId="2" applyFont="1"/>
    <xf numFmtId="0" fontId="4" fillId="0" borderId="0" xfId="0" applyFont="1"/>
    <xf numFmtId="164" fontId="0" fillId="0" borderId="0" xfId="3" applyNumberFormat="1" applyFont="1"/>
    <xf numFmtId="0" fontId="5" fillId="0" borderId="0" xfId="0" applyFont="1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6" fillId="2" borderId="0" xfId="0" applyFont="1" applyFill="1"/>
    <xf numFmtId="0" fontId="7" fillId="2" borderId="0" xfId="0" applyFont="1" applyFill="1" applyAlignment="1">
      <alignment horizontal="left" vertical="center"/>
    </xf>
    <xf numFmtId="10" fontId="0" fillId="0" borderId="0" xfId="2" applyNumberFormat="1" applyFont="1"/>
    <xf numFmtId="0" fontId="0" fillId="3" borderId="0" xfId="0" applyFill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2" borderId="0" xfId="2" applyFont="1" applyFill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9"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b/>
        <i val="0"/>
        <color theme="0"/>
        <name val="Segoe UI"/>
        <family val="2"/>
      </font>
      <fill>
        <patternFill>
          <bgColor theme="0" tint="-0.34998626667073579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SlicerStyleOther1 2" pivot="0" table="0" count="10" xr9:uid="{09AF5EC0-61A5-4CD8-B11C-94A823518F40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[roi-calculator.xlsx]Calculos!TblCategoria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Calculos!$C$8</c:f>
              <c:strCache>
                <c:ptCount val="1"/>
                <c:pt idx="0">
                  <c:v>Soma de Custos Depois (AWS)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Calculos!$B$9:$B$14</c:f>
              <c:strCache>
                <c:ptCount val="5"/>
                <c:pt idx="0">
                  <c:v>Digitadores (5 funcionários)</c:v>
                </c:pt>
                <c:pt idx="1">
                  <c:v>Estoque imobilizado</c:v>
                </c:pt>
                <c:pt idx="2">
                  <c:v>Hardware Servidores + Manutenção</c:v>
                </c:pt>
                <c:pt idx="3">
                  <c:v>Licenças SQL Server</c:v>
                </c:pt>
                <c:pt idx="4">
                  <c:v>Relatórios manuais (3 analistas)</c:v>
                </c:pt>
              </c:strCache>
            </c:strRef>
          </c:cat>
          <c:val>
            <c:numRef>
              <c:f>Calculos!$C$9:$C$14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2100000</c:v>
                </c:pt>
                <c:pt idx="2">
                  <c:v>60000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F-4F95-B246-125352D4E3A4}"/>
            </c:ext>
          </c:extLst>
        </c:ser>
        <c:ser>
          <c:idx val="1"/>
          <c:order val="1"/>
          <c:tx>
            <c:strRef>
              <c:f>Calculos!$D$8</c:f>
              <c:strCache>
                <c:ptCount val="1"/>
                <c:pt idx="0">
                  <c:v>Soma de Custos Antes (On-Premises)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Calculos!$B$9:$B$14</c:f>
              <c:strCache>
                <c:ptCount val="5"/>
                <c:pt idx="0">
                  <c:v>Digitadores (5 funcionários)</c:v>
                </c:pt>
                <c:pt idx="1">
                  <c:v>Estoque imobilizado</c:v>
                </c:pt>
                <c:pt idx="2">
                  <c:v>Hardware Servidores + Manutenção</c:v>
                </c:pt>
                <c:pt idx="3">
                  <c:v>Licenças SQL Server</c:v>
                </c:pt>
                <c:pt idx="4">
                  <c:v>Relatórios manuais (3 analistas)</c:v>
                </c:pt>
              </c:strCache>
            </c:strRef>
          </c:cat>
          <c:val>
            <c:numRef>
              <c:f>Calculos!$D$9:$D$14</c:f>
              <c:numCache>
                <c:formatCode>_("R$"* #,##0.00_);_("R$"* \(#,##0.00\);_("R$"* "-"??_);_(@_)</c:formatCode>
                <c:ptCount val="5"/>
                <c:pt idx="0">
                  <c:v>180000</c:v>
                </c:pt>
                <c:pt idx="1">
                  <c:v>3000000</c:v>
                </c:pt>
                <c:pt idx="2">
                  <c:v>300000</c:v>
                </c:pt>
                <c:pt idx="3">
                  <c:v>120000</c:v>
                </c:pt>
                <c:pt idx="4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F-4F95-B246-125352D4E3A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6595407"/>
        <c:axId val="686603087"/>
      </c:barChart>
      <c:catAx>
        <c:axId val="68659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86603087"/>
        <c:crosses val="autoZero"/>
        <c:auto val="1"/>
        <c:lblAlgn val="ctr"/>
        <c:lblOffset val="100"/>
        <c:noMultiLvlLbl val="0"/>
      </c:catAx>
      <c:valAx>
        <c:axId val="686603087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8659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[roi-calculator.xlsx]Calculos!Tabela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Economia Anual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Calculos!$B$18:$B$23</c:f>
              <c:strCache>
                <c:ptCount val="5"/>
                <c:pt idx="0">
                  <c:v>Digitadores (5 funcionários)</c:v>
                </c:pt>
                <c:pt idx="1">
                  <c:v>Estoque imobilizado</c:v>
                </c:pt>
                <c:pt idx="2">
                  <c:v>Hardware Servidores + Manutenção</c:v>
                </c:pt>
                <c:pt idx="3">
                  <c:v>Licenças SQL Server</c:v>
                </c:pt>
                <c:pt idx="4">
                  <c:v>Relatórios manuais (3 analistas)</c:v>
                </c:pt>
              </c:strCache>
            </c:strRef>
          </c:cat>
          <c:val>
            <c:numRef>
              <c:f>Calculos!$C$18:$C$23</c:f>
              <c:numCache>
                <c:formatCode>_("R$"* #,##0.00_);_("R$"* \(#,##0.00\);_("R$"* "-"??_);_(@_)</c:formatCode>
                <c:ptCount val="5"/>
                <c:pt idx="0">
                  <c:v>180000</c:v>
                </c:pt>
                <c:pt idx="1">
                  <c:v>900000</c:v>
                </c:pt>
                <c:pt idx="2">
                  <c:v>240000</c:v>
                </c:pt>
                <c:pt idx="3">
                  <c:v>120000</c:v>
                </c:pt>
                <c:pt idx="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F-47D0-9B53-62B0C4F911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6614607"/>
        <c:axId val="686607407"/>
      </c:barChart>
      <c:catAx>
        <c:axId val="68661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bg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86607407"/>
        <c:crosses val="autoZero"/>
        <c:auto val="1"/>
        <c:lblAlgn val="ctr"/>
        <c:lblOffset val="100"/>
        <c:noMultiLvlLbl val="0"/>
      </c:catAx>
      <c:valAx>
        <c:axId val="68660740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8661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[roi-calculator.xlsx]Calculos!Tabela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Distribuição da Economia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Calculos!$C$17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6D-4A78-BFF7-19B751003F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6D-4A78-BFF7-19B751003F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6D-4A78-BFF7-19B751003F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6D-4A78-BFF7-19B751003F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6D-4A78-BFF7-19B751003F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Calculos!$B$18:$B$23</c:f>
              <c:strCache>
                <c:ptCount val="5"/>
                <c:pt idx="0">
                  <c:v>Digitadores (5 funcionários)</c:v>
                </c:pt>
                <c:pt idx="1">
                  <c:v>Estoque imobilizado</c:v>
                </c:pt>
                <c:pt idx="2">
                  <c:v>Hardware Servidores + Manutenção</c:v>
                </c:pt>
                <c:pt idx="3">
                  <c:v>Licenças SQL Server</c:v>
                </c:pt>
                <c:pt idx="4">
                  <c:v>Relatórios manuais (3 analistas)</c:v>
                </c:pt>
              </c:strCache>
            </c:strRef>
          </c:cat>
          <c:val>
            <c:numRef>
              <c:f>Calculos!$C$18:$C$23</c:f>
              <c:numCache>
                <c:formatCode>_("R$"* #,##0.00_);_("R$"* \(#,##0.00\);_("R$"* "-"??_);_(@_)</c:formatCode>
                <c:ptCount val="5"/>
                <c:pt idx="0">
                  <c:v>180000</c:v>
                </c:pt>
                <c:pt idx="1">
                  <c:v>900000</c:v>
                </c:pt>
                <c:pt idx="2">
                  <c:v>240000</c:v>
                </c:pt>
                <c:pt idx="3">
                  <c:v>120000</c:v>
                </c:pt>
                <c:pt idx="4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6D-4A78-BFF7-19B751003F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>
          <a:lumMod val="7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6271</xdr:colOff>
      <xdr:row>18</xdr:row>
      <xdr:rowOff>121106</xdr:rowOff>
    </xdr:from>
    <xdr:to>
      <xdr:col>24</xdr:col>
      <xdr:colOff>77166</xdr:colOff>
      <xdr:row>38</xdr:row>
      <xdr:rowOff>92170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0D3BDA-B9B1-4808-A853-FA185CDE9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378588</xdr:colOff>
      <xdr:row>2</xdr:row>
      <xdr:rowOff>182033</xdr:rowOff>
    </xdr:from>
    <xdr:to>
      <xdr:col>24</xdr:col>
      <xdr:colOff>99060</xdr:colOff>
      <xdr:row>17</xdr:row>
      <xdr:rowOff>177509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24E0009-78A0-40FF-A1E8-CB9FEA21E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598217</xdr:colOff>
      <xdr:row>2</xdr:row>
      <xdr:rowOff>1004201</xdr:rowOff>
    </xdr:from>
    <xdr:to>
      <xdr:col>14</xdr:col>
      <xdr:colOff>220309</xdr:colOff>
      <xdr:row>17</xdr:row>
      <xdr:rowOff>176716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A5D7BE-65D8-43F0-82E3-1AF46DA6F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370487</xdr:colOff>
      <xdr:row>2</xdr:row>
      <xdr:rowOff>180420</xdr:rowOff>
    </xdr:from>
    <xdr:to>
      <xdr:col>4</xdr:col>
      <xdr:colOff>451253</xdr:colOff>
      <xdr:row>38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ia">
              <a:extLst>
                <a:ext uri="{FF2B5EF4-FFF2-40B4-BE49-F238E27FC236}">
                  <a16:creationId xmlns:a16="http://schemas.microsoft.com/office/drawing/2014/main" id="{6E4A1110-9B78-4590-B46E-B5BD09465F8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0487" y="1127477"/>
              <a:ext cx="2519166" cy="655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495248</xdr:colOff>
      <xdr:row>20</xdr:row>
      <xdr:rowOff>174172</xdr:rowOff>
    </xdr:from>
    <xdr:to>
      <xdr:col>4</xdr:col>
      <xdr:colOff>295900</xdr:colOff>
      <xdr:row>25</xdr:row>
      <xdr:rowOff>43544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7F884EB0-8A77-956D-6387-A3D9F85BCB3B}"/>
            </a:ext>
          </a:extLst>
        </xdr:cNvPr>
        <xdr:cNvSpPr/>
      </xdr:nvSpPr>
      <xdr:spPr>
        <a:xfrm>
          <a:off x="495248" y="4452258"/>
          <a:ext cx="2239052" cy="794657"/>
        </a:xfrm>
        <a:prstGeom prst="roundRect">
          <a:avLst>
            <a:gd name="adj" fmla="val 5895"/>
          </a:avLst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>
            <a:ln>
              <a:solidFill>
                <a:schemeClr val="accent1">
                  <a:shade val="15000"/>
                </a:schemeClr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216481</xdr:colOff>
      <xdr:row>23</xdr:row>
      <xdr:rowOff>76444</xdr:rowOff>
    </xdr:from>
    <xdr:to>
      <xdr:col>3</xdr:col>
      <xdr:colOff>593572</xdr:colOff>
      <xdr:row>25</xdr:row>
      <xdr:rowOff>8508</xdr:rowOff>
    </xdr:to>
    <xdr:sp macro="" textlink="Calculos!$D$5">
      <xdr:nvSpPr>
        <xdr:cNvPr id="13" name="Retângulo: Cantos Arredondados 12">
          <a:extLst>
            <a:ext uri="{FF2B5EF4-FFF2-40B4-BE49-F238E27FC236}">
              <a16:creationId xmlns:a16="http://schemas.microsoft.com/office/drawing/2014/main" id="{0026E99A-283B-D796-B63A-42BA5B5122A2}"/>
            </a:ext>
          </a:extLst>
        </xdr:cNvPr>
        <xdr:cNvSpPr/>
      </xdr:nvSpPr>
      <xdr:spPr>
        <a:xfrm>
          <a:off x="826081" y="4909701"/>
          <a:ext cx="1596291" cy="302178"/>
        </a:xfrm>
        <a:prstGeom prst="roundRect">
          <a:avLst>
            <a:gd name="adj" fmla="val 5895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9CBF1482-E4A8-4DCE-A2CE-AD30FB5F9DF5}" type="TxLink">
            <a:rPr lang="en-US" sz="1500" b="0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rPr>
            <a:pPr algn="ctr"/>
            <a:t>41,73%</a:t>
          </a:fld>
          <a:endParaRPr lang="pt-BR" sz="1500">
            <a:ln>
              <a:solidFill>
                <a:schemeClr val="bg1"/>
              </a:solidFill>
            </a:ln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478972</xdr:colOff>
      <xdr:row>21</xdr:row>
      <xdr:rowOff>77956</xdr:rowOff>
    </xdr:from>
    <xdr:to>
      <xdr:col>4</xdr:col>
      <xdr:colOff>296836</xdr:colOff>
      <xdr:row>22</xdr:row>
      <xdr:rowOff>110846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0AE51FEA-39C6-6A9C-67F8-DB6B5767D243}"/>
            </a:ext>
          </a:extLst>
        </xdr:cNvPr>
        <xdr:cNvSpPr/>
      </xdr:nvSpPr>
      <xdr:spPr>
        <a:xfrm>
          <a:off x="478972" y="4541099"/>
          <a:ext cx="2256264" cy="217947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>
                <a:noFill/>
              </a:ln>
              <a:solidFill>
                <a:schemeClr val="bg1"/>
              </a:solidFill>
              <a:effectLst>
                <a:glow>
                  <a:schemeClr val="bg1"/>
                </a:glow>
              </a:effectLst>
              <a:latin typeface="Segoe UI" panose="020B0502040204020203" pitchFamily="34" charset="0"/>
              <a:cs typeface="Segoe UI" panose="020B0502040204020203" pitchFamily="34" charset="0"/>
            </a:rPr>
            <a:t>Desconto</a:t>
          </a:r>
          <a:endParaRPr lang="pt-BR" sz="1600" b="1">
            <a:ln>
              <a:noFill/>
            </a:ln>
            <a:solidFill>
              <a:schemeClr val="bg1"/>
            </a:solidFill>
            <a:effectLst>
              <a:glow>
                <a:schemeClr val="bg1"/>
              </a:glow>
            </a:effectLst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484363</xdr:colOff>
      <xdr:row>15</xdr:row>
      <xdr:rowOff>163286</xdr:rowOff>
    </xdr:from>
    <xdr:to>
      <xdr:col>4</xdr:col>
      <xdr:colOff>285015</xdr:colOff>
      <xdr:row>20</xdr:row>
      <xdr:rowOff>32657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56864B40-0AEA-5078-9849-88A6301C7552}"/>
            </a:ext>
          </a:extLst>
        </xdr:cNvPr>
        <xdr:cNvSpPr/>
      </xdr:nvSpPr>
      <xdr:spPr>
        <a:xfrm>
          <a:off x="484363" y="3516086"/>
          <a:ext cx="2239052" cy="794657"/>
        </a:xfrm>
        <a:prstGeom prst="roundRect">
          <a:avLst>
            <a:gd name="adj" fmla="val 5895"/>
          </a:avLst>
        </a:prstGeom>
        <a:solidFill>
          <a:schemeClr val="accent1">
            <a:lumMod val="50000"/>
          </a:schemeClr>
        </a:solidFill>
        <a:ln>
          <a:solidFill>
            <a:schemeClr val="bg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pt-BR" sz="1100">
            <a:ln>
              <a:solidFill>
                <a:schemeClr val="accent1">
                  <a:shade val="15000"/>
                </a:schemeClr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446315</xdr:colOff>
      <xdr:row>16</xdr:row>
      <xdr:rowOff>68359</xdr:rowOff>
    </xdr:from>
    <xdr:to>
      <xdr:col>4</xdr:col>
      <xdr:colOff>256479</xdr:colOff>
      <xdr:row>19</xdr:row>
      <xdr:rowOff>179972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AE29DF84-AD0F-5EA7-5370-ECE78CD17713}"/>
            </a:ext>
          </a:extLst>
        </xdr:cNvPr>
        <xdr:cNvGrpSpPr/>
      </xdr:nvGrpSpPr>
      <xdr:grpSpPr>
        <a:xfrm>
          <a:off x="446315" y="3606216"/>
          <a:ext cx="2248564" cy="666785"/>
          <a:chOff x="446315" y="3562408"/>
          <a:chExt cx="2248564" cy="658023"/>
        </a:xfrm>
      </xdr:grpSpPr>
      <xdr:sp macro="" textlink="Calculos!$C$5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096C79F6-F6F9-22A5-023C-4837737419C9}"/>
              </a:ext>
            </a:extLst>
          </xdr:cNvPr>
          <xdr:cNvSpPr/>
        </xdr:nvSpPr>
        <xdr:spPr>
          <a:xfrm>
            <a:off x="793424" y="3924234"/>
            <a:ext cx="1596291" cy="296197"/>
          </a:xfrm>
          <a:prstGeom prst="roundRect">
            <a:avLst>
              <a:gd name="adj" fmla="val 5895"/>
            </a:avLst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88C91BB0-BA1B-41DD-A35A-38DCDE40CAF0}" type="TxLink">
              <a:rPr lang="en-US" sz="1500" b="0" i="0" u="none" strike="noStrike">
                <a:ln>
                  <a:solidFill>
                    <a:schemeClr val="bg1"/>
                  </a:solidFill>
                </a:ln>
                <a:solidFill>
                  <a:schemeClr val="bg1"/>
                </a:solidFill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pPr algn="ctr"/>
              <a:t> R$ 2.220.000,00 </a:t>
            </a:fld>
            <a:endParaRPr lang="en-US" sz="1500" b="0" i="0" u="none" strike="noStrike">
              <a:ln>
                <a:solidFill>
                  <a:schemeClr val="bg1"/>
                </a:solidFill>
              </a:ln>
              <a:solidFill>
                <a:schemeClr val="bg1"/>
              </a:solidFill>
              <a:latin typeface="Segoe UI" panose="020B0502040204020203" pitchFamily="34" charset="0"/>
              <a:ea typeface="Calibri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AF1CCAA1-A0D1-0533-9DDD-D6A9D237A24C}"/>
              </a:ext>
            </a:extLst>
          </xdr:cNvPr>
          <xdr:cNvSpPr/>
        </xdr:nvSpPr>
        <xdr:spPr>
          <a:xfrm>
            <a:off x="446315" y="3562408"/>
            <a:ext cx="2248564" cy="213941"/>
          </a:xfrm>
          <a:prstGeom prst="round2Same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n>
                  <a:noFill/>
                </a:ln>
                <a:solidFill>
                  <a:schemeClr val="bg1"/>
                </a:solidFill>
                <a:effectLst>
                  <a:glow>
                    <a:schemeClr val="bg1"/>
                  </a:glow>
                </a:effectLst>
                <a:latin typeface="Segoe UI" panose="020B0502040204020203" pitchFamily="34" charset="0"/>
                <a:cs typeface="Segoe UI" panose="020B0502040204020203" pitchFamily="34" charset="0"/>
              </a:rPr>
              <a:t>Valor Total</a:t>
            </a:r>
            <a:endParaRPr lang="pt-BR" sz="1600" b="1">
              <a:ln>
                <a:noFill/>
              </a:ln>
              <a:solidFill>
                <a:schemeClr val="bg1"/>
              </a:solidFill>
              <a:effectLst>
                <a:glow>
                  <a:schemeClr val="bg1"/>
                </a:glow>
              </a:effectLst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queson" refreshedDate="46035.975283217595" createdVersion="8" refreshedVersion="8" minRefreshableVersion="3" recordCount="5" xr:uid="{058B2131-55FD-4F6C-9528-DA4C198DD286}">
  <cacheSource type="worksheet">
    <worksheetSource name="Tabela1"/>
  </cacheSource>
  <cacheFields count="4">
    <cacheField name="Categoria" numFmtId="0">
      <sharedItems count="5">
        <s v="Licenças SQL Server"/>
        <s v="Hardware Servidores + Manutenção"/>
        <s v="Digitadores (5 funcionários)"/>
        <s v="Relatórios manuais (3 analistas)"/>
        <s v="Estoque imobilizado"/>
      </sharedItems>
    </cacheField>
    <cacheField name="Custos Antes (On-Premises)" numFmtId="44">
      <sharedItems containsSemiMixedTypes="0" containsString="0" containsNumber="1" containsInteger="1" minValue="120000" maxValue="3000000" count="5">
        <n v="120000"/>
        <n v="300000"/>
        <n v="180000"/>
        <n v="210000"/>
        <n v="3000000"/>
      </sharedItems>
    </cacheField>
    <cacheField name="Custos Depois (AWS)" numFmtId="44">
      <sharedItems containsSemiMixedTypes="0" containsString="0" containsNumber="1" containsInteger="1" minValue="0" maxValue="2100000" count="3">
        <n v="0"/>
        <n v="60000"/>
        <n v="2100000"/>
      </sharedItems>
    </cacheField>
    <cacheField name="Economia Anual" numFmtId="44">
      <sharedItems containsSemiMixedTypes="0" containsString="0" containsNumber="1" containsInteger="1" minValue="120000" maxValue="900000" count="5">
        <n v="120000"/>
        <n v="240000"/>
        <n v="180000"/>
        <n v="150000"/>
        <n v="900000"/>
      </sharedItems>
    </cacheField>
  </cacheFields>
  <extLst>
    <ext xmlns:x14="http://schemas.microsoft.com/office/spreadsheetml/2009/9/main" uri="{725AE2AE-9491-48be-B2B4-4EB974FC3084}">
      <x14:pivotCacheDefinition pivotCacheId="128953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</r>
  <r>
    <x v="1"/>
    <x v="1"/>
    <x v="1"/>
    <x v="1"/>
  </r>
  <r>
    <x v="2"/>
    <x v="2"/>
    <x v="0"/>
    <x v="2"/>
  </r>
  <r>
    <x v="3"/>
    <x v="3"/>
    <x v="1"/>
    <x v="3"/>
  </r>
  <r>
    <x v="4"/>
    <x v="4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4524C-DAC4-4243-8F1C-F804C5EF4F9D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7:C23" firstHeaderRow="1" firstDataRow="1" firstDataCol="1"/>
  <pivotFields count="4">
    <pivotField axis="axisRow" showAll="0">
      <items count="6">
        <item x="2"/>
        <item x="4"/>
        <item x="1"/>
        <item x="0"/>
        <item x="3"/>
        <item t="default"/>
      </items>
    </pivotField>
    <pivotField numFmtId="44" showAll="0"/>
    <pivotField numFmtId="44" showAll="0"/>
    <pivotField dataField="1" numFmtId="4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Economia Anual" fld="3" baseField="0" baseItem="0" numFmtId="44"/>
  </dataFields>
  <chartFormats count="7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3790B-5B05-471C-A585-9FDC35BCB172}" name="TblCategoria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8:D14" firstHeaderRow="0" firstDataRow="1" firstDataCol="1"/>
  <pivotFields count="4">
    <pivotField axis="axisRow" showAll="0">
      <items count="6">
        <item x="2"/>
        <item x="4"/>
        <item x="1"/>
        <item x="0"/>
        <item x="3"/>
        <item t="default"/>
      </items>
    </pivotField>
    <pivotField dataField="1" numFmtId="44" showAll="0">
      <items count="6">
        <item x="0"/>
        <item x="2"/>
        <item x="3"/>
        <item x="1"/>
        <item x="4"/>
        <item t="default"/>
      </items>
    </pivotField>
    <pivotField dataField="1" numFmtId="44" showAll="0">
      <items count="4">
        <item x="0"/>
        <item x="1"/>
        <item x="2"/>
        <item t="default"/>
      </items>
    </pivotField>
    <pivotField numFmtId="4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ustos Depois (AWS)" fld="2" baseField="0" baseItem="0" numFmtId="44"/>
    <dataField name="Soma de Custos Antes (On-Premises)" fld="1" baseField="0" baseItem="0" numFmtId="44"/>
  </dataFields>
  <chartFormats count="2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988EC-0AEC-42B8-97BE-92722B9B678C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2:C3" firstHeaderRow="0" firstDataRow="1" firstDataCol="0"/>
  <pivotFields count="4">
    <pivotField showAll="0">
      <items count="6">
        <item x="2"/>
        <item x="4"/>
        <item x="1"/>
        <item x="0"/>
        <item x="3"/>
        <item t="default"/>
      </items>
    </pivotField>
    <pivotField dataField="1" numFmtId="44" showAll="0">
      <items count="6">
        <item h="1" x="0"/>
        <item h="1" x="2"/>
        <item h="1" x="3"/>
        <item h="1" x="1"/>
        <item x="4"/>
        <item t="default"/>
      </items>
    </pivotField>
    <pivotField dataField="1" numFmtId="44" showAll="0"/>
    <pivotField numFmtId="44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Custos Antes (On-Premises)" fld="1" baseField="0" baseItem="0" numFmtId="44"/>
    <dataField name="Soma de Custos Depois (AWS)" fld="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40CDD3CA-ECAC-4F56-9B37-79952EF49182}" sourceName="Categoria">
  <pivotTables>
    <pivotTable tabId="5" name="Tabela dinâmica2"/>
    <pivotTable tabId="5" name="Tabela dinâmica3"/>
    <pivotTable tabId="5" name="TblCategoria"/>
  </pivotTables>
  <data>
    <tabular pivotCacheId="128953619">
      <items count="5">
        <i x="2" s="1"/>
        <i x="4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B86A0AE1-7A43-49FF-B6FB-60FBA5A8B32B}" cache="SegmentaçãodeDados_Categoria" caption="Categoria" showCaption="0" style="SlicerStyleOther1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2D81F-A6D2-4087-A118-7C552227875B}" name="Tabela1" displayName="Tabela1" ref="B2:E7" totalsRowShown="0" headerRowDxfId="8" headerRowBorderDxfId="7" tableBorderDxfId="6">
  <autoFilter ref="B2:E7" xr:uid="{D062D81F-A6D2-4087-A118-7C552227875B}"/>
  <tableColumns count="4">
    <tableColumn id="1" xr3:uid="{6262AFBE-42D8-4EDC-A582-466B951C2CED}" name="Categoria" dataDxfId="5"/>
    <tableColumn id="2" xr3:uid="{022FB69C-2EE7-4609-8DBC-45786C4F299B}" name="Custos Antes (On-Premises)" dataDxfId="4" dataCellStyle="Moeda"/>
    <tableColumn id="3" xr3:uid="{6C087A2A-E146-42F4-BCD7-8FFB878758AD}" name="Custos Depois (AWS)" dataDxfId="3" dataCellStyle="Moeda"/>
    <tableColumn id="4" xr3:uid="{484E2F20-593B-44D4-B70F-0D325DA9286F}" name="Economia Anual" dataDxfId="2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6F98-4E74-4C66-9EA9-044033AB0995}">
  <sheetPr>
    <tabColor theme="0"/>
  </sheetPr>
  <dimension ref="B2:D23"/>
  <sheetViews>
    <sheetView tabSelected="1" workbookViewId="0">
      <selection activeCell="E3" sqref="E3"/>
    </sheetView>
  </sheetViews>
  <sheetFormatPr defaultRowHeight="14.4" x14ac:dyDescent="0.3"/>
  <cols>
    <col min="2" max="2" width="30.6640625" bestFit="1" customWidth="1"/>
    <col min="3" max="3" width="26.6640625" bestFit="1" customWidth="1"/>
    <col min="4" max="4" width="32.44140625" customWidth="1"/>
  </cols>
  <sheetData>
    <row r="2" spans="2:4" x14ac:dyDescent="0.3">
      <c r="B2" t="s">
        <v>12</v>
      </c>
      <c r="C2" t="s">
        <v>11</v>
      </c>
      <c r="D2" s="21" t="s">
        <v>15</v>
      </c>
    </row>
    <row r="3" spans="2:4" x14ac:dyDescent="0.3">
      <c r="B3" s="7">
        <v>3810000</v>
      </c>
      <c r="C3" s="7">
        <v>2220000</v>
      </c>
    </row>
    <row r="4" spans="2:4" x14ac:dyDescent="0.3">
      <c r="D4" s="7"/>
    </row>
    <row r="5" spans="2:4" x14ac:dyDescent="0.3">
      <c r="B5" s="6">
        <f>GETPIVOTDATA("Soma de Custos Antes (On-Premises)",$B$2)</f>
        <v>3810000</v>
      </c>
      <c r="C5" s="6">
        <f>GETPIVOTDATA("Soma de Custos Depois (AWS)",$B$2)</f>
        <v>2220000</v>
      </c>
      <c r="D5" s="22">
        <f xml:space="preserve"> (B5 - C5) / B5</f>
        <v>0.41732283464566927</v>
      </c>
    </row>
    <row r="6" spans="2:4" x14ac:dyDescent="0.3">
      <c r="D6" s="20"/>
    </row>
    <row r="8" spans="2:4" x14ac:dyDescent="0.3">
      <c r="B8" s="15" t="s">
        <v>9</v>
      </c>
      <c r="C8" t="s">
        <v>11</v>
      </c>
      <c r="D8" t="s">
        <v>12</v>
      </c>
    </row>
    <row r="9" spans="2:4" x14ac:dyDescent="0.3">
      <c r="B9" s="16" t="s">
        <v>6</v>
      </c>
      <c r="C9" s="7">
        <v>0</v>
      </c>
      <c r="D9" s="7">
        <v>180000</v>
      </c>
    </row>
    <row r="10" spans="2:4" x14ac:dyDescent="0.3">
      <c r="B10" s="16" t="s">
        <v>8</v>
      </c>
      <c r="C10" s="7">
        <v>2100000</v>
      </c>
      <c r="D10" s="7">
        <v>3000000</v>
      </c>
    </row>
    <row r="11" spans="2:4" x14ac:dyDescent="0.3">
      <c r="B11" s="16" t="s">
        <v>5</v>
      </c>
      <c r="C11" s="7">
        <v>60000</v>
      </c>
      <c r="D11" s="7">
        <v>300000</v>
      </c>
    </row>
    <row r="12" spans="2:4" x14ac:dyDescent="0.3">
      <c r="B12" s="16" t="s">
        <v>4</v>
      </c>
      <c r="C12" s="7">
        <v>0</v>
      </c>
      <c r="D12" s="7">
        <v>120000</v>
      </c>
    </row>
    <row r="13" spans="2:4" x14ac:dyDescent="0.3">
      <c r="B13" s="16" t="s">
        <v>7</v>
      </c>
      <c r="C13" s="7">
        <v>60000</v>
      </c>
      <c r="D13" s="7">
        <v>210000</v>
      </c>
    </row>
    <row r="14" spans="2:4" x14ac:dyDescent="0.3">
      <c r="B14" s="16" t="s">
        <v>10</v>
      </c>
      <c r="C14" s="7">
        <v>2220000</v>
      </c>
      <c r="D14" s="7">
        <v>3810000</v>
      </c>
    </row>
    <row r="17" spans="2:3" x14ac:dyDescent="0.3">
      <c r="B17" s="15" t="s">
        <v>9</v>
      </c>
      <c r="C17" t="s">
        <v>13</v>
      </c>
    </row>
    <row r="18" spans="2:3" x14ac:dyDescent="0.3">
      <c r="B18" s="16" t="s">
        <v>6</v>
      </c>
      <c r="C18" s="7">
        <v>180000</v>
      </c>
    </row>
    <row r="19" spans="2:3" x14ac:dyDescent="0.3">
      <c r="B19" s="16" t="s">
        <v>8</v>
      </c>
      <c r="C19" s="7">
        <v>900000</v>
      </c>
    </row>
    <row r="20" spans="2:3" x14ac:dyDescent="0.3">
      <c r="B20" s="16" t="s">
        <v>5</v>
      </c>
      <c r="C20" s="7">
        <v>240000</v>
      </c>
    </row>
    <row r="21" spans="2:3" x14ac:dyDescent="0.3">
      <c r="B21" s="16" t="s">
        <v>4</v>
      </c>
      <c r="C21" s="7">
        <v>120000</v>
      </c>
    </row>
    <row r="22" spans="2:3" x14ac:dyDescent="0.3">
      <c r="B22" s="16" t="s">
        <v>7</v>
      </c>
      <c r="C22" s="7">
        <v>150000</v>
      </c>
    </row>
    <row r="23" spans="2:3" x14ac:dyDescent="0.3">
      <c r="B23" s="16" t="s">
        <v>10</v>
      </c>
      <c r="C23" s="7">
        <v>1590000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5094-B03C-47E4-8FA4-D1110EECF631}">
  <dimension ref="A2:S41"/>
  <sheetViews>
    <sheetView showGridLines="0" topLeftCell="A3" zoomScale="70" zoomScaleNormal="70" workbookViewId="0">
      <selection activeCell="AB20" sqref="AB20"/>
    </sheetView>
  </sheetViews>
  <sheetFormatPr defaultRowHeight="14.4" x14ac:dyDescent="0.3"/>
  <cols>
    <col min="1" max="16384" width="8.88671875" style="17"/>
  </cols>
  <sheetData>
    <row r="2" spans="2:19" ht="60" customHeight="1" x14ac:dyDescent="0.45">
      <c r="B2" s="18"/>
      <c r="F2" s="19" t="s">
        <v>14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2:19" ht="14.4" customHeight="1" x14ac:dyDescent="0.3"/>
    <row r="4" spans="2:19" ht="14.4" customHeight="1" x14ac:dyDescent="0.3"/>
    <row r="41" spans="1:1" x14ac:dyDescent="0.3">
      <c r="A41" s="23"/>
    </row>
  </sheetData>
  <mergeCells count="1">
    <mergeCell ref="F2:S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9"/>
  <sheetViews>
    <sheetView workbookViewId="0">
      <selection activeCell="E2" activeCellId="1" sqref="B2:B7 E2:E7"/>
    </sheetView>
  </sheetViews>
  <sheetFormatPr defaultRowHeight="14.4" x14ac:dyDescent="0.3"/>
  <cols>
    <col min="2" max="2" width="35.33203125" customWidth="1"/>
    <col min="3" max="3" width="34.33203125" customWidth="1"/>
    <col min="4" max="4" width="30.33203125" customWidth="1"/>
    <col min="5" max="5" width="19.88671875" customWidth="1"/>
    <col min="6" max="6" width="10.33203125" bestFit="1" customWidth="1"/>
  </cols>
  <sheetData>
    <row r="2" spans="2:6" ht="19.8" thickBot="1" x14ac:dyDescent="0.35">
      <c r="B2" s="12" t="s">
        <v>0</v>
      </c>
      <c r="C2" s="13" t="s">
        <v>1</v>
      </c>
      <c r="D2" s="13" t="s">
        <v>2</v>
      </c>
      <c r="E2" s="14" t="s">
        <v>3</v>
      </c>
    </row>
    <row r="3" spans="2:6" ht="19.8" customHeight="1" x14ac:dyDescent="0.3">
      <c r="B3" s="2" t="s">
        <v>4</v>
      </c>
      <c r="C3" s="5">
        <v>120000</v>
      </c>
      <c r="D3" s="5">
        <v>0</v>
      </c>
      <c r="E3" s="5">
        <f>C3-D3</f>
        <v>120000</v>
      </c>
    </row>
    <row r="4" spans="2:6" ht="19.8" customHeight="1" x14ac:dyDescent="0.3">
      <c r="B4" s="1" t="s">
        <v>5</v>
      </c>
      <c r="C4" s="3">
        <v>300000</v>
      </c>
      <c r="D4" s="3">
        <v>60000</v>
      </c>
      <c r="E4" s="5">
        <f>C4-D4</f>
        <v>240000</v>
      </c>
    </row>
    <row r="5" spans="2:6" ht="19.8" customHeight="1" x14ac:dyDescent="0.3">
      <c r="B5" s="1" t="s">
        <v>6</v>
      </c>
      <c r="C5" s="3">
        <v>180000</v>
      </c>
      <c r="D5" s="3">
        <v>0</v>
      </c>
      <c r="E5" s="5">
        <f>C5-D5</f>
        <v>180000</v>
      </c>
    </row>
    <row r="6" spans="2:6" ht="19.8" customHeight="1" x14ac:dyDescent="0.3">
      <c r="B6" s="1" t="s">
        <v>7</v>
      </c>
      <c r="C6" s="3">
        <v>210000</v>
      </c>
      <c r="D6" s="3">
        <v>60000</v>
      </c>
      <c r="E6" s="5">
        <f>C6-D6</f>
        <v>150000</v>
      </c>
    </row>
    <row r="7" spans="2:6" ht="19.8" customHeight="1" x14ac:dyDescent="0.3">
      <c r="B7" s="1" t="s">
        <v>8</v>
      </c>
      <c r="C7" s="4">
        <v>3000000</v>
      </c>
      <c r="D7" s="3">
        <v>2100000</v>
      </c>
      <c r="E7" s="5">
        <f>C7-D7</f>
        <v>900000</v>
      </c>
    </row>
    <row r="10" spans="2:6" x14ac:dyDescent="0.3">
      <c r="D10" s="6"/>
      <c r="E10" s="6"/>
      <c r="F10" s="6"/>
    </row>
    <row r="11" spans="2:6" x14ac:dyDescent="0.3">
      <c r="D11" s="10"/>
      <c r="E11" s="6"/>
      <c r="F11" s="7"/>
    </row>
    <row r="12" spans="2:6" x14ac:dyDescent="0.3">
      <c r="C12" s="11"/>
      <c r="E12" s="7"/>
    </row>
    <row r="13" spans="2:6" x14ac:dyDescent="0.3">
      <c r="C13" s="7"/>
      <c r="E13" s="8"/>
    </row>
    <row r="19" spans="6:6" x14ac:dyDescent="0.3">
      <c r="F19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Calculos</vt:lpstr>
      <vt:lpstr>Dashboard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Jaqueson Cordeiro Alves</cp:lastModifiedBy>
  <dcterms:created xsi:type="dcterms:W3CDTF">2026-01-14T01:02:30Z</dcterms:created>
  <dcterms:modified xsi:type="dcterms:W3CDTF">2026-01-14T21:28:20Z</dcterms:modified>
</cp:coreProperties>
</file>